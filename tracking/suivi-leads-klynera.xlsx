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Rentabilit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€"/>
    <numFmt numFmtId="165" formatCode="0.0%"/>
    <numFmt numFmtId="166" formatCode="#,##0.00 €"/>
    <numFmt numFmtId="167" formatCode="0.0x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  <font>
      <name val="Arial"/>
      <i val="1"/>
    </font>
    <font>
      <name val="Arial"/>
      <color rgb="000000FF"/>
    </font>
    <font>
      <name val="Arial"/>
      <b val="1"/>
      <sz val="14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0A162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5" fillId="3" borderId="1" pivotButton="0" quotePrefix="0" xfId="0"/>
    <xf numFmtId="0" fontId="3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6" fillId="0" borderId="0" pivotButton="0" quotePrefix="0" xfId="0"/>
    <xf numFmtId="164" fontId="5" fillId="3" borderId="0" pivotButton="0" quotePrefix="0" xfId="0"/>
    <xf numFmtId="9" fontId="5" fillId="3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Prestation</t>
        </is>
      </c>
      <c r="D1" s="1" t="inlineStr">
        <is>
          <t>Nom</t>
        </is>
      </c>
      <c r="E1" s="1" t="inlineStr">
        <is>
          <t>Téléphone</t>
        </is>
      </c>
      <c r="F1" s="1" t="inlineStr">
        <is>
          <t>Devis envoyé (€)</t>
        </is>
      </c>
      <c r="G1" s="1" t="inlineStr">
        <is>
          <t>Signé (O/N)</t>
        </is>
      </c>
      <c r="H1" s="1" t="inlineStr">
        <is>
          <t>Montant signé (€)</t>
        </is>
      </c>
      <c r="J1" s="2" t="inlineStr">
        <is>
          <t>Mode d'emploi</t>
        </is>
      </c>
    </row>
    <row r="2">
      <c r="A2" s="3" t="inlineStr">
        <is>
          <t>2026-08-20</t>
        </is>
      </c>
      <c r="B2" s="3" t="inlineStr">
        <is>
          <t>google / cpc / vitres</t>
        </is>
      </c>
      <c r="C2" s="3" t="inlineStr">
        <is>
          <t>Nettoyage de vitres</t>
        </is>
      </c>
      <c r="D2" s="3" t="inlineStr">
        <is>
          <t>Dupont</t>
        </is>
      </c>
      <c r="E2" s="3" t="inlineStr">
        <is>
          <t>06 12 34 56 78</t>
        </is>
      </c>
      <c r="F2" s="3" t="n">
        <v>180</v>
      </c>
      <c r="G2" s="3" t="inlineStr">
        <is>
          <t>O</t>
        </is>
      </c>
      <c r="H2" s="3" t="n">
        <v>180</v>
      </c>
      <c r="J2" s="4" t="inlineStr">
        <is>
          <t>1 ligne par demande de devis (formulaire OU appel).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J3" s="4" t="inlineStr">
        <is>
          <t>Source : recopier la ligne « source » de l'email du lead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J4" s="4" t="inlineStr">
        <is>
          <t>(ex. google / cpc / vitres) ; « appel » si contact téléphonique.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J5" s="4" t="inlineStr">
        <is>
          <t>Signé : O ou N. Montant : € HT du chantier signé.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J6" s="6" t="inlineStr">
        <is>
          <t>La ligne 2 est un exemple : remplacez-la par vos vrais leads.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0" customWidth="1" min="4" max="4"/>
    <col width="14" customWidth="1" min="5" max="5"/>
    <col width="14" customWidth="1" min="6" max="6"/>
    <col width="16" customWidth="1" min="7" max="7"/>
  </cols>
  <sheetData>
    <row r="1">
      <c r="A1" s="7" t="inlineStr">
        <is>
          <t>Rentabilité de l'acquisition · Klynera</t>
        </is>
      </c>
    </row>
    <row r="2">
      <c r="A2" s="6" t="inlineStr">
        <is>
          <t>Cellules jaunes = à saisir. Tout le reste se calcule tout seul depuis l'onglet Leads.</t>
        </is>
      </c>
    </row>
    <row r="3"/>
    <row r="4">
      <c r="A4" s="2" t="inlineStr">
        <is>
          <t>Dépense pub sur la période (€)</t>
        </is>
      </c>
      <c r="B4" s="8" t="n">
        <v>450</v>
      </c>
      <c r="D4" s="2" t="inlineStr">
        <is>
          <t>Par prestation</t>
        </is>
      </c>
    </row>
    <row r="5">
      <c r="A5" s="2" t="inlineStr">
        <is>
          <t>Marge sur CA (%, estimation)</t>
        </is>
      </c>
      <c r="B5" s="9" t="n">
        <v>0.6</v>
      </c>
      <c r="E5" s="1" t="inlineStr">
        <is>
          <t>Leads</t>
        </is>
      </c>
      <c r="F5" s="1" t="inlineStr">
        <is>
          <t>Signés</t>
        </is>
      </c>
      <c r="G5" s="1" t="inlineStr">
        <is>
          <t>CA signé (€)</t>
        </is>
      </c>
    </row>
    <row r="6">
      <c r="A6" s="4" t="inlineStr"/>
      <c r="B6" s="4" t="n"/>
      <c r="D6" s="4" t="inlineStr">
        <is>
          <t>Nettoyage de vitres</t>
        </is>
      </c>
      <c r="E6" s="4">
        <f>COUNTIF(Leads!C2:C501,D6)</f>
        <v/>
      </c>
      <c r="F6" s="4">
        <f>COUNTIFS(Leads!C2:C501,D6,Leads!G2:G501,"O")</f>
        <v/>
      </c>
      <c r="G6" s="10">
        <f>SUMIFS(Leads!H2:H501,Leads!C2:C501,D6,Leads!G2:G501,"O")</f>
        <v/>
      </c>
    </row>
    <row r="7">
      <c r="A7" s="2" t="inlineStr">
        <is>
          <t>Leads reçus</t>
        </is>
      </c>
      <c r="B7" s="4">
        <f>COUNTA(Leads!A2:A501)</f>
        <v/>
      </c>
      <c r="D7" s="4" t="inlineStr">
        <is>
          <t>Nettoyage de fin de chantier</t>
        </is>
      </c>
      <c r="E7" s="4">
        <f>COUNTIF(Leads!C2:C501,D7)</f>
        <v/>
      </c>
      <c r="F7" s="4">
        <f>COUNTIFS(Leads!C2:C501,D7,Leads!G2:G501,"O")</f>
        <v/>
      </c>
      <c r="G7" s="10">
        <f>SUMIFS(Leads!H2:H501,Leads!C2:C501,D7,Leads!G2:G501,"O")</f>
        <v/>
      </c>
    </row>
    <row r="8">
      <c r="A8" s="2" t="inlineStr">
        <is>
          <t>Devis envoyés (€ renseigné)</t>
        </is>
      </c>
      <c r="B8" s="4">
        <f>COUNT(Leads!F2:F501)</f>
        <v/>
      </c>
      <c r="D8" s="4" t="inlineStr">
        <is>
          <t>Nettoyage de bureaux</t>
        </is>
      </c>
      <c r="E8" s="4">
        <f>COUNTIF(Leads!C2:C501,D8)</f>
        <v/>
      </c>
      <c r="F8" s="4">
        <f>COUNTIFS(Leads!C2:C501,D8,Leads!G2:G501,"O")</f>
        <v/>
      </c>
      <c r="G8" s="10">
        <f>SUMIFS(Leads!H2:H501,Leads!C2:C501,D8,Leads!G2:G501,"O")</f>
        <v/>
      </c>
    </row>
    <row r="9">
      <c r="A9" s="2" t="inlineStr">
        <is>
          <t>Chantiers signés</t>
        </is>
      </c>
      <c r="B9" s="4">
        <f>COUNTIF(Leads!G2:G501,"O")</f>
        <v/>
      </c>
    </row>
    <row r="10">
      <c r="A10" s="2" t="inlineStr">
        <is>
          <t>Taux de closing (signés / leads)</t>
        </is>
      </c>
      <c r="B10" s="11">
        <f>IFERROR(B9/B7,0)</f>
        <v/>
      </c>
    </row>
    <row r="11">
      <c r="A11" s="4" t="inlineStr"/>
      <c r="B11" s="4" t="n"/>
    </row>
    <row r="12">
      <c r="A12" s="2" t="inlineStr">
        <is>
          <t>CA signé (€)</t>
        </is>
      </c>
      <c r="B12" s="10">
        <f>SUMIF(Leads!G2:G501,"O",Leads!H2:H501)</f>
        <v/>
      </c>
    </row>
    <row r="13">
      <c r="A13" s="2" t="inlineStr">
        <is>
          <t>Coût par lead (€)</t>
        </is>
      </c>
      <c r="B13" s="12">
        <f>IFERROR(B4/B7,0)</f>
        <v/>
      </c>
    </row>
    <row r="14">
      <c r="A14" s="2" t="inlineStr">
        <is>
          <t>Coût par chantier signé (€)</t>
        </is>
      </c>
      <c r="B14" s="12">
        <f>IFERROR(B4/B9,0)</f>
        <v/>
      </c>
    </row>
    <row r="15">
      <c r="A15" s="2" t="inlineStr">
        <is>
          <t>ROAS (CA / dépense)</t>
        </is>
      </c>
      <c r="B15" s="13">
        <f>IFERROR(B12/B4,0)</f>
        <v/>
      </c>
    </row>
    <row r="16">
      <c r="A16" s="2" t="inlineStr">
        <is>
          <t>Profit net estimé (CA × marge - pub) (€)</t>
        </is>
      </c>
      <c r="B16" s="10">
        <f>B12*B5-B4</f>
        <v/>
      </c>
    </row>
    <row r="17"/>
    <row r="18">
      <c r="A18" s="14" t="inlineStr">
        <is>
          <t>Hypothèse : marge 60 % = estimation à ajuster avec le client (source : à confirmer).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2026-08-17T17:14:56Z</dcterms:created>
  <dcterms:modified xmlns:dcterms="http://purl.org/dc/terms/" xmlns:xsi="http://www.w3.org/2001/XMLSchema-instance" xsi:type="dcterms:W3CDTF">2026-09-04T09:06:35Z</dcterms:modified>
</cp:coreProperties>
</file>